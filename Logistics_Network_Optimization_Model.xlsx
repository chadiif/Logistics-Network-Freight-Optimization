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agu\Downloads\"/>
    </mc:Choice>
  </mc:AlternateContent>
  <xr:revisionPtr revIDLastSave="0" documentId="13_ncr:1_{1789AC72-926E-45A6-B6D7-1425A06D1AB2}" xr6:coauthVersionLast="36" xr6:coauthVersionMax="36" xr10:uidLastSave="{00000000-0000-0000-0000-000000000000}"/>
  <bookViews>
    <workbookView xWindow="0" yWindow="0" windowWidth="23040" windowHeight="8364" activeTab="3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Network_Optimization" sheetId="1" r:id="rId4"/>
  </sheets>
  <definedNames>
    <definedName name="solver_adj" localSheetId="3" hidden="1">Network_Optimization!$B$10:$E$12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Network_Optimization!$B$13:$E$13</definedName>
    <definedName name="solver_lhs2" localSheetId="3" hidden="1">Network_Optimization!$F$10:$F$12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Network_Optimization!$B$18</definedName>
    <definedName name="solver_pre" localSheetId="3" hidden="1">0.000001</definedName>
    <definedName name="solver_rbv" localSheetId="3" hidden="1">1</definedName>
    <definedName name="solver_rel1" localSheetId="3" hidden="1">2</definedName>
    <definedName name="solver_rel2" localSheetId="3" hidden="1">1</definedName>
    <definedName name="solver_rhs1" localSheetId="3" hidden="1">Network_Optimization!$B$14:$E$14</definedName>
    <definedName name="solver_rhs2" localSheetId="3" hidden="1">Network_Optimization!$G$10:$G$12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</workbook>
</file>

<file path=xl/calcChain.xml><?xml version="1.0" encoding="utf-8"?>
<calcChain xmlns="http://schemas.openxmlformats.org/spreadsheetml/2006/main">
  <c r="B18" i="1" l="1"/>
  <c r="E13" i="1"/>
  <c r="D13" i="1"/>
  <c r="C13" i="1"/>
  <c r="B13" i="1"/>
  <c r="F12" i="1"/>
  <c r="F11" i="1"/>
  <c r="F10" i="1"/>
</calcChain>
</file>

<file path=xl/sharedStrings.xml><?xml version="1.0" encoding="utf-8"?>
<sst xmlns="http://schemas.openxmlformats.org/spreadsheetml/2006/main" count="229" uniqueCount="108">
  <si>
    <t>Freight Unit Cost Matrix ($/unit)</t>
  </si>
  <si>
    <t>DC North</t>
  </si>
  <si>
    <t>DC South</t>
  </si>
  <si>
    <t>DC East</t>
  </si>
  <si>
    <t>DC West</t>
  </si>
  <si>
    <t>Plant A</t>
  </si>
  <si>
    <t>Plant B</t>
  </si>
  <si>
    <t>Plant C</t>
  </si>
  <si>
    <t>Decision Matrix (Shipped Quantities)</t>
  </si>
  <si>
    <t>Total Shipped</t>
  </si>
  <si>
    <t>Capacity Constraint</t>
  </si>
  <si>
    <t>Total Received</t>
  </si>
  <si>
    <t>DC Demand</t>
  </si>
  <si>
    <t>Objective Function</t>
  </si>
  <si>
    <t>Total Freight Expenditure ($)</t>
  </si>
  <si>
    <t>Microsoft Excel 16.0 Answer Report</t>
  </si>
  <si>
    <t>Worksheet: [Logistics_Network_Optimization_Model.xlsx]Network_Optimization</t>
  </si>
  <si>
    <t>Report Created: 10/28/2026 1:06:14 PM</t>
  </si>
  <si>
    <t>Result: Solver found a solution.  All Constraints and optimality conditions are satisfied.</t>
  </si>
  <si>
    <t>Solver Engine</t>
  </si>
  <si>
    <t>Engine: Simplex LP</t>
  </si>
  <si>
    <t>Solution Time: 0.016 Seconds.</t>
  </si>
  <si>
    <t>Iterations: 12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</si>
  <si>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</si>
  <si>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</si>
  <si>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</si>
  <si>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</si>
  <si>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</si>
  <si>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</si>
  <si>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</si>
  <si>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</si>
  <si>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</si>
  <si>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</si>
  <si>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</si>
  <si>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</si>
  <si>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</si>
  <si>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</si>
  <si>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</si>
  <si>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$B$18</t>
  </si>
  <si>
    <t>Total Freight Expenditure ($) DC North</t>
  </si>
  <si>
    <t>$B$10</t>
  </si>
  <si>
    <t>Plant A DC North</t>
  </si>
  <si>
    <t>Contin</t>
  </si>
  <si>
    <t>$C$10</t>
  </si>
  <si>
    <t>Plant A DC South</t>
  </si>
  <si>
    <t>$D$10</t>
  </si>
  <si>
    <t>Plant A DC East</t>
  </si>
  <si>
    <t>$E$10</t>
  </si>
  <si>
    <t>Plant A DC West</t>
  </si>
  <si>
    <t>$B$11</t>
  </si>
  <si>
    <t>Plant B DC North</t>
  </si>
  <si>
    <t>$C$11</t>
  </si>
  <si>
    <t>Plant B DC South</t>
  </si>
  <si>
    <t>$D$11</t>
  </si>
  <si>
    <t>Plant B DC East</t>
  </si>
  <si>
    <t>$E$11</t>
  </si>
  <si>
    <t>Plant B DC West</t>
  </si>
  <si>
    <t>$B$12</t>
  </si>
  <si>
    <t>Plant C DC North</t>
  </si>
  <si>
    <t>$C$12</t>
  </si>
  <si>
    <t>Plant C DC South</t>
  </si>
  <si>
    <t>$D$12</t>
  </si>
  <si>
    <t>Plant C DC East</t>
  </si>
  <si>
    <t>$E$12</t>
  </si>
  <si>
    <t>Plant C DC West</t>
  </si>
  <si>
    <t>$B$13</t>
  </si>
  <si>
    <t>Total Received DC North</t>
  </si>
  <si>
    <t>$B$13=$B$14</t>
  </si>
  <si>
    <t>Binding</t>
  </si>
  <si>
    <t>$C$13</t>
  </si>
  <si>
    <t>Total Received DC South</t>
  </si>
  <si>
    <t>$C$13=$C$14</t>
  </si>
  <si>
    <t>$D$13</t>
  </si>
  <si>
    <t>Total Received DC East</t>
  </si>
  <si>
    <t>$D$13=$D$14</t>
  </si>
  <si>
    <t>$E$13</t>
  </si>
  <si>
    <t>Total Received DC West</t>
  </si>
  <si>
    <t>$E$13=$E$14</t>
  </si>
  <si>
    <t>$F$10</t>
  </si>
  <si>
    <t>Plant A Total Shipped</t>
  </si>
  <si>
    <t>$F$10&lt;=$G$10</t>
  </si>
  <si>
    <t>Not Binding</t>
  </si>
  <si>
    <t>$F$11</t>
  </si>
  <si>
    <t>Plant B Total Shipped</t>
  </si>
  <si>
    <t>$F$11&lt;=$G$11</t>
  </si>
  <si>
    <t>$F$12</t>
  </si>
  <si>
    <t>Plant C Total Shipped</t>
  </si>
  <si>
    <t>$F$12&lt;=$G$12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</si>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</sst>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name val="Arial"/>
      <family val="2"/>
    </font>
    <font>
      <sz val="10"/>
      <color theme="1"/>
      <name val="Roboto"/>
    </font>
    <font>
      <sz val="10"/>
      <color rgb="FF0000FF"/>
      <name val="Roboto"/>
    </font>
    <font>
      <sz val="10"/>
      <color rgb="FF000000"/>
      <name val="Roboto"/>
    </font>
    <font>
      <b/>
      <sz val="10"/>
      <color rgb="FF000000"/>
      <name val="Arial"/>
      <family val="2"/>
      <scheme val="minor"/>
    </font>
    <font>
      <b/>
      <sz val="10"/>
      <color indexed="1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B6939"/>
        <bgColor rgb="FF3B6939"/>
      </patternFill>
    </fill>
    <fill>
      <patternFill patternType="solid">
        <fgColor rgb="FFF7FAF0"/>
        <bgColor rgb="FFF7FAF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71796E"/>
      </left>
      <right/>
      <top style="thin">
        <color rgb="FF71796E"/>
      </top>
      <bottom style="thin">
        <color rgb="FF71796E"/>
      </bottom>
      <diagonal/>
    </border>
    <border>
      <left/>
      <right/>
      <top style="thin">
        <color rgb="FF71796E"/>
      </top>
      <bottom style="thin">
        <color rgb="FF71796E"/>
      </bottom>
      <diagonal/>
    </border>
    <border>
      <left/>
      <right style="thin">
        <color rgb="FF71796E"/>
      </right>
      <top style="thin">
        <color rgb="FF71796E"/>
      </top>
      <bottom style="thin">
        <color rgb="FF71796E"/>
      </bottom>
      <diagonal/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0" borderId="0" xfId="0" applyFont="1"/>
    <xf numFmtId="0" fontId="1" fillId="2" borderId="4" xfId="0" applyFont="1" applyFill="1" applyBorder="1"/>
    <xf numFmtId="0" fontId="1" fillId="2" borderId="4" xfId="0" applyFont="1" applyFill="1" applyBorder="1" applyAlignment="1"/>
    <xf numFmtId="0" fontId="3" fillId="3" borderId="4" xfId="0" applyFont="1" applyFill="1" applyBorder="1" applyAlignment="1"/>
    <xf numFmtId="164" fontId="4" fillId="3" borderId="4" xfId="0" applyNumberFormat="1" applyFont="1" applyFill="1" applyBorder="1" applyAlignment="1"/>
    <xf numFmtId="0" fontId="3" fillId="4" borderId="4" xfId="0" applyFont="1" applyFill="1" applyBorder="1" applyAlignment="1"/>
    <xf numFmtId="164" fontId="4" fillId="4" borderId="4" xfId="0" applyNumberFormat="1" applyFont="1" applyFill="1" applyBorder="1" applyAlignment="1"/>
    <xf numFmtId="0" fontId="4" fillId="3" borderId="4" xfId="0" applyFont="1" applyFill="1" applyBorder="1" applyAlignment="1"/>
    <xf numFmtId="0" fontId="5" fillId="3" borderId="4" xfId="0" applyFont="1" applyFill="1" applyBorder="1"/>
    <xf numFmtId="0" fontId="4" fillId="4" borderId="4" xfId="0" applyFont="1" applyFill="1" applyBorder="1" applyAlignment="1"/>
    <xf numFmtId="0" fontId="5" fillId="4" borderId="4" xfId="0" applyFont="1" applyFill="1" applyBorder="1"/>
    <xf numFmtId="0" fontId="3" fillId="4" borderId="4" xfId="0" applyFont="1" applyFill="1" applyBorder="1"/>
    <xf numFmtId="0" fontId="3" fillId="3" borderId="4" xfId="0" applyFont="1" applyFill="1" applyBorder="1"/>
    <xf numFmtId="164" fontId="5" fillId="3" borderId="4" xfId="0" applyNumberFormat="1" applyFont="1" applyFill="1" applyBorder="1"/>
    <xf numFmtId="0" fontId="1" fillId="2" borderId="1" xfId="0" applyFont="1" applyFill="1" applyBorder="1" applyAlignment="1"/>
    <xf numFmtId="0" fontId="2" fillId="0" borderId="2" xfId="0" applyFont="1" applyBorder="1"/>
    <xf numFmtId="0" fontId="2" fillId="0" borderId="3" xfId="0" applyFont="1" applyBorder="1"/>
    <xf numFmtId="0" fontId="6" fillId="0" borderId="0" xfId="0" applyFont="1" applyAlignment="1"/>
    <xf numFmtId="0" fontId="0" fillId="0" borderId="8" xfId="0" applyFill="1" applyBorder="1" applyAlignment="1"/>
    <xf numFmtId="0" fontId="7" fillId="0" borderId="7" xfId="0" applyFont="1" applyFill="1" applyBorder="1" applyAlignment="1">
      <alignment horizontal="center"/>
    </xf>
    <xf numFmtId="0" fontId="0" fillId="0" borderId="9" xfId="0" applyFill="1" applyBorder="1" applyAlignment="1"/>
    <xf numFmtId="164" fontId="0" fillId="0" borderId="8" xfId="0" applyNumberFormat="1" applyFill="1" applyBorder="1" applyAlignment="1"/>
    <xf numFmtId="0" fontId="0" fillId="0" borderId="9" xfId="0" applyNumberFormat="1" applyFill="1" applyBorder="1" applyAlignment="1"/>
    <xf numFmtId="0" fontId="0" fillId="0" borderId="8" xfId="0" applyNumberFormat="1" applyFill="1" applyBorder="1" applyAlignment="1"/>
    <xf numFmtId="0" fontId="7" fillId="0" borderId="5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147A-C209-4B30-9394-E00165576B4F}">
  <dimension ref="A1:G43"/>
  <sheetViews>
    <sheetView showGridLines="0" workbookViewId="0"/>
  </sheetViews>
  <sheetFormatPr defaultRowHeight="13.2"/>
  <cols>
    <col min="1" max="1" width="2.33203125" customWidth="1"/>
    <col min="2" max="2" width="6.33203125" bestFit="1" customWidth="1"/>
    <col min="3" max="3" width="32.6640625" bestFit="1" customWidth="1"/>
    <col min="4" max="4" width="13.21875" bestFit="1" customWidth="1"/>
    <col min="5" max="5" width="13.77734375" bestFit="1" customWidth="1"/>
    <col min="6" max="6" width="10.33203125" bestFit="1" customWidth="1"/>
    <col min="7" max="7" width="5.6640625" bestFit="1" customWidth="1"/>
  </cols>
  <sheetData>
    <row r="1" spans="1:5">
      <c r="A1" s="18" t="s">
        <v>15</v>
      </c>
    </row>
    <row r="2" spans="1:5">
      <c r="A2" s="18" t="s">
        <v>16</v>
      </c>
    </row>
    <row r="3" spans="1:5">
      <c r="A3" s="18" t="s">
        <v>17</v>
      </c>
    </row>
    <row r="4" spans="1:5">
      <c r="A4" s="18" t="s">
        <v>18</v>
      </c>
    </row>
    <row r="5" spans="1:5">
      <c r="A5" s="18" t="s">
        <v>19</v>
      </c>
    </row>
    <row r="6" spans="1:5">
      <c r="A6" s="18"/>
      <c r="B6" t="s">
        <v>20</v>
      </c>
    </row>
    <row r="7" spans="1:5">
      <c r="A7" s="18"/>
      <c r="B7" t="s">
        <v>21</v>
      </c>
    </row>
    <row r="8" spans="1:5">
      <c r="A8" s="18"/>
      <c r="B8" t="s">
        <v>22</v>
      </c>
    </row>
    <row r="9" spans="1:5">
      <c r="A9" s="18" t="s">
        <v>23</v>
      </c>
    </row>
    <row r="10" spans="1:5">
      <c r="B10" t="s">
        <v>24</v>
      </c>
    </row>
    <row r="11" spans="1:5">
      <c r="B11" t="s">
        <v>25</v>
      </c>
    </row>
    <row r="14" spans="1:5" ht="13.8" thickBot="1">
      <c r="A14" t="s">
        <v>26</v>
      </c>
    </row>
    <row r="15" spans="1:5" ht="13.8" thickBot="1">
      <c r="B15" s="20" t="s">
        <v>27</v>
      </c>
      <c r="C15" s="20" t="s">
        <v>28</v>
      </c>
      <c r="D15" s="20" t="s">
        <v>29</v>
      </c>
      <c r="E15" s="20" t="s">
        <v>30</v>
      </c>
    </row>
    <row r="16" spans="1:5" ht="13.8" thickBot="1">
      <c r="B16" s="19" t="s">
        <v>38</v>
      </c>
      <c r="C16" s="19" t="s">
        <v>39</v>
      </c>
      <c r="D16" s="22">
        <v>0</v>
      </c>
      <c r="E16" s="22">
        <v>45000</v>
      </c>
    </row>
    <row r="19" spans="1:6" ht="13.8" thickBot="1">
      <c r="A19" t="s">
        <v>31</v>
      </c>
    </row>
    <row r="20" spans="1:6" ht="13.8" thickBot="1">
      <c r="B20" s="20" t="s">
        <v>27</v>
      </c>
      <c r="C20" s="20" t="s">
        <v>28</v>
      </c>
      <c r="D20" s="20" t="s">
        <v>29</v>
      </c>
      <c r="E20" s="20" t="s">
        <v>30</v>
      </c>
      <c r="F20" s="20" t="s">
        <v>32</v>
      </c>
    </row>
    <row r="21" spans="1:6">
      <c r="B21" s="21" t="s">
        <v>40</v>
      </c>
      <c r="C21" s="21" t="s">
        <v>41</v>
      </c>
      <c r="D21" s="23">
        <v>0</v>
      </c>
      <c r="E21" s="23">
        <v>3000</v>
      </c>
      <c r="F21" s="21" t="s">
        <v>42</v>
      </c>
    </row>
    <row r="22" spans="1:6">
      <c r="B22" s="21" t="s">
        <v>43</v>
      </c>
      <c r="C22" s="21" t="s">
        <v>44</v>
      </c>
      <c r="D22" s="23">
        <v>0</v>
      </c>
      <c r="E22" s="23">
        <v>0</v>
      </c>
      <c r="F22" s="21" t="s">
        <v>42</v>
      </c>
    </row>
    <row r="23" spans="1:6">
      <c r="B23" s="21" t="s">
        <v>45</v>
      </c>
      <c r="C23" s="21" t="s">
        <v>46</v>
      </c>
      <c r="D23" s="23">
        <v>0</v>
      </c>
      <c r="E23" s="23">
        <v>0</v>
      </c>
      <c r="F23" s="21" t="s">
        <v>42</v>
      </c>
    </row>
    <row r="24" spans="1:6">
      <c r="B24" s="21" t="s">
        <v>47</v>
      </c>
      <c r="C24" s="21" t="s">
        <v>48</v>
      </c>
      <c r="D24" s="23">
        <v>0</v>
      </c>
      <c r="E24" s="23">
        <v>0</v>
      </c>
      <c r="F24" s="21" t="s">
        <v>42</v>
      </c>
    </row>
    <row r="25" spans="1:6">
      <c r="B25" s="21" t="s">
        <v>49</v>
      </c>
      <c r="C25" s="21" t="s">
        <v>50</v>
      </c>
      <c r="D25" s="23">
        <v>0</v>
      </c>
      <c r="E25" s="23">
        <v>0</v>
      </c>
      <c r="F25" s="21" t="s">
        <v>42</v>
      </c>
    </row>
    <row r="26" spans="1:6">
      <c r="B26" s="21" t="s">
        <v>51</v>
      </c>
      <c r="C26" s="21" t="s">
        <v>52</v>
      </c>
      <c r="D26" s="23">
        <v>0</v>
      </c>
      <c r="E26" s="23">
        <v>4000</v>
      </c>
      <c r="F26" s="21" t="s">
        <v>42</v>
      </c>
    </row>
    <row r="27" spans="1:6">
      <c r="B27" s="21" t="s">
        <v>53</v>
      </c>
      <c r="C27" s="21" t="s">
        <v>54</v>
      </c>
      <c r="D27" s="23">
        <v>0</v>
      </c>
      <c r="E27" s="23">
        <v>0</v>
      </c>
      <c r="F27" s="21" t="s">
        <v>42</v>
      </c>
    </row>
    <row r="28" spans="1:6">
      <c r="B28" s="21" t="s">
        <v>55</v>
      </c>
      <c r="C28" s="21" t="s">
        <v>56</v>
      </c>
      <c r="D28" s="23">
        <v>0</v>
      </c>
      <c r="E28" s="23">
        <v>3000</v>
      </c>
      <c r="F28" s="21" t="s">
        <v>42</v>
      </c>
    </row>
    <row r="29" spans="1:6">
      <c r="B29" s="21" t="s">
        <v>57</v>
      </c>
      <c r="C29" s="21" t="s">
        <v>58</v>
      </c>
      <c r="D29" s="23">
        <v>0</v>
      </c>
      <c r="E29" s="23">
        <v>0</v>
      </c>
      <c r="F29" s="21" t="s">
        <v>42</v>
      </c>
    </row>
    <row r="30" spans="1:6">
      <c r="B30" s="21" t="s">
        <v>59</v>
      </c>
      <c r="C30" s="21" t="s">
        <v>60</v>
      </c>
      <c r="D30" s="23">
        <v>0</v>
      </c>
      <c r="E30" s="23">
        <v>0</v>
      </c>
      <c r="F30" s="21" t="s">
        <v>42</v>
      </c>
    </row>
    <row r="31" spans="1:6">
      <c r="B31" s="21" t="s">
        <v>61</v>
      </c>
      <c r="C31" s="21" t="s">
        <v>62</v>
      </c>
      <c r="D31" s="23">
        <v>0</v>
      </c>
      <c r="E31" s="23">
        <v>3000</v>
      </c>
      <c r="F31" s="21" t="s">
        <v>42</v>
      </c>
    </row>
    <row r="32" spans="1:6" ht="13.8" thickBot="1">
      <c r="B32" s="19" t="s">
        <v>63</v>
      </c>
      <c r="C32" s="19" t="s">
        <v>64</v>
      </c>
      <c r="D32" s="24">
        <v>0</v>
      </c>
      <c r="E32" s="24">
        <v>0</v>
      </c>
      <c r="F32" s="19" t="s">
        <v>42</v>
      </c>
    </row>
    <row r="35" spans="1:7" ht="13.8" thickBot="1">
      <c r="A35" t="s">
        <v>33</v>
      </c>
    </row>
    <row r="36" spans="1:7" ht="13.8" thickBot="1">
      <c r="B36" s="20" t="s">
        <v>27</v>
      </c>
      <c r="C36" s="20" t="s">
        <v>28</v>
      </c>
      <c r="D36" s="20" t="s">
        <v>34</v>
      </c>
      <c r="E36" s="20" t="s">
        <v>35</v>
      </c>
      <c r="F36" s="20" t="s">
        <v>36</v>
      </c>
      <c r="G36" s="20" t="s">
        <v>37</v>
      </c>
    </row>
    <row r="37" spans="1:7">
      <c r="B37" s="21" t="s">
        <v>65</v>
      </c>
      <c r="C37" s="21" t="s">
        <v>66</v>
      </c>
      <c r="D37" s="23">
        <v>3000</v>
      </c>
      <c r="E37" s="21" t="s">
        <v>67</v>
      </c>
      <c r="F37" s="21" t="s">
        <v>68</v>
      </c>
      <c r="G37" s="21">
        <v>0</v>
      </c>
    </row>
    <row r="38" spans="1:7">
      <c r="B38" s="21" t="s">
        <v>69</v>
      </c>
      <c r="C38" s="21" t="s">
        <v>70</v>
      </c>
      <c r="D38" s="23">
        <v>4000</v>
      </c>
      <c r="E38" s="21" t="s">
        <v>71</v>
      </c>
      <c r="F38" s="21" t="s">
        <v>68</v>
      </c>
      <c r="G38" s="21">
        <v>0</v>
      </c>
    </row>
    <row r="39" spans="1:7">
      <c r="B39" s="21" t="s">
        <v>72</v>
      </c>
      <c r="C39" s="21" t="s">
        <v>73</v>
      </c>
      <c r="D39" s="23">
        <v>3000</v>
      </c>
      <c r="E39" s="21" t="s">
        <v>74</v>
      </c>
      <c r="F39" s="21" t="s">
        <v>68</v>
      </c>
      <c r="G39" s="21">
        <v>0</v>
      </c>
    </row>
    <row r="40" spans="1:7">
      <c r="B40" s="21" t="s">
        <v>75</v>
      </c>
      <c r="C40" s="21" t="s">
        <v>76</v>
      </c>
      <c r="D40" s="23">
        <v>3000</v>
      </c>
      <c r="E40" s="21" t="s">
        <v>77</v>
      </c>
      <c r="F40" s="21" t="s">
        <v>68</v>
      </c>
      <c r="G40" s="21">
        <v>0</v>
      </c>
    </row>
    <row r="41" spans="1:7">
      <c r="B41" s="21" t="s">
        <v>78</v>
      </c>
      <c r="C41" s="21" t="s">
        <v>79</v>
      </c>
      <c r="D41" s="23">
        <v>3000</v>
      </c>
      <c r="E41" s="21" t="s">
        <v>80</v>
      </c>
      <c r="F41" s="21" t="s">
        <v>81</v>
      </c>
      <c r="G41" s="21">
        <v>2000</v>
      </c>
    </row>
    <row r="42" spans="1:7">
      <c r="B42" s="21" t="s">
        <v>82</v>
      </c>
      <c r="C42" s="21" t="s">
        <v>83</v>
      </c>
      <c r="D42" s="23">
        <v>7000</v>
      </c>
      <c r="E42" s="21" t="s">
        <v>84</v>
      </c>
      <c r="F42" s="21" t="s">
        <v>68</v>
      </c>
      <c r="G42" s="21">
        <v>0</v>
      </c>
    </row>
    <row r="43" spans="1:7" ht="13.8" thickBot="1">
      <c r="B43" s="19" t="s">
        <v>85</v>
      </c>
      <c r="C43" s="19" t="s">
        <v>86</v>
      </c>
      <c r="D43" s="24">
        <v>3000</v>
      </c>
      <c r="E43" s="19" t="s">
        <v>87</v>
      </c>
      <c r="F43" s="19" t="s">
        <v>81</v>
      </c>
      <c r="G43" s="1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FE0C-37CA-4DB8-AECD-619BB55BB52B}">
  <dimension ref="A1:H31"/>
  <sheetViews>
    <sheetView showGridLines="0" workbookViewId="0"/>
  </sheetViews>
  <sheetFormatPr defaultRowHeight="13.2"/>
  <cols>
    <col min="1" max="1" width="2.33203125" customWidth="1"/>
    <col min="2" max="2" width="6.33203125" bestFit="1" customWidth="1"/>
    <col min="3" max="3" width="21.5546875" bestFit="1" customWidth="1"/>
    <col min="4" max="4" width="5.77734375" bestFit="1" customWidth="1"/>
    <col min="5" max="5" width="8.6640625" bestFit="1" customWidth="1"/>
    <col min="6" max="6" width="10.21875" bestFit="1" customWidth="1"/>
    <col min="7" max="8" width="9.21875" bestFit="1" customWidth="1"/>
  </cols>
  <sheetData>
    <row r="1" spans="1:8">
      <c r="A1" s="18" t="s">
        <v>88</v>
      </c>
    </row>
    <row r="2" spans="1:8">
      <c r="A2" s="18" t="s">
        <v>16</v>
      </c>
    </row>
    <row r="3" spans="1:8">
      <c r="A3" s="18" t="s">
        <v>17</v>
      </c>
    </row>
    <row r="6" spans="1:8" ht="13.8" thickBot="1">
      <c r="A6" t="s">
        <v>31</v>
      </c>
    </row>
    <row r="7" spans="1:8">
      <c r="B7" s="25"/>
      <c r="C7" s="25"/>
      <c r="D7" s="25" t="s">
        <v>89</v>
      </c>
      <c r="E7" s="25" t="s">
        <v>91</v>
      </c>
      <c r="F7" s="25" t="s">
        <v>93</v>
      </c>
      <c r="G7" s="25" t="s">
        <v>95</v>
      </c>
      <c r="H7" s="25" t="s">
        <v>95</v>
      </c>
    </row>
    <row r="8" spans="1:8" ht="13.8" thickBot="1">
      <c r="B8" s="26" t="s">
        <v>27</v>
      </c>
      <c r="C8" s="26" t="s">
        <v>28</v>
      </c>
      <c r="D8" s="26" t="s">
        <v>90</v>
      </c>
      <c r="E8" s="26" t="s">
        <v>92</v>
      </c>
      <c r="F8" s="26" t="s">
        <v>94</v>
      </c>
      <c r="G8" s="26" t="s">
        <v>96</v>
      </c>
      <c r="H8" s="26" t="s">
        <v>97</v>
      </c>
    </row>
    <row r="9" spans="1:8">
      <c r="B9" s="21" t="s">
        <v>40</v>
      </c>
      <c r="C9" s="21" t="s">
        <v>41</v>
      </c>
      <c r="D9" s="21">
        <v>3000</v>
      </c>
      <c r="E9" s="21">
        <v>0</v>
      </c>
      <c r="F9" s="21">
        <v>4.5</v>
      </c>
      <c r="G9" s="21">
        <v>1.5</v>
      </c>
      <c r="H9" s="21">
        <v>1E+30</v>
      </c>
    </row>
    <row r="10" spans="1:8">
      <c r="B10" s="21" t="s">
        <v>43</v>
      </c>
      <c r="C10" s="21" t="s">
        <v>44</v>
      </c>
      <c r="D10" s="21">
        <v>0</v>
      </c>
      <c r="E10" s="21">
        <v>2</v>
      </c>
      <c r="F10" s="21">
        <v>6</v>
      </c>
      <c r="G10" s="21">
        <v>1E+30</v>
      </c>
      <c r="H10" s="21">
        <v>2</v>
      </c>
    </row>
    <row r="11" spans="1:8">
      <c r="B11" s="21" t="s">
        <v>45</v>
      </c>
      <c r="C11" s="21" t="s">
        <v>46</v>
      </c>
      <c r="D11" s="21">
        <v>0</v>
      </c>
      <c r="E11" s="21">
        <v>1</v>
      </c>
      <c r="F11" s="21">
        <v>3.5</v>
      </c>
      <c r="G11" s="21">
        <v>1E+30</v>
      </c>
      <c r="H11" s="21">
        <v>1</v>
      </c>
    </row>
    <row r="12" spans="1:8">
      <c r="B12" s="21" t="s">
        <v>47</v>
      </c>
      <c r="C12" s="21" t="s">
        <v>48</v>
      </c>
      <c r="D12" s="21">
        <v>0</v>
      </c>
      <c r="E12" s="21">
        <v>3</v>
      </c>
      <c r="F12" s="21">
        <v>8</v>
      </c>
      <c r="G12" s="21">
        <v>1E+30</v>
      </c>
      <c r="H12" s="21">
        <v>3</v>
      </c>
    </row>
    <row r="13" spans="1:8">
      <c r="B13" s="21" t="s">
        <v>49</v>
      </c>
      <c r="C13" s="21" t="s">
        <v>50</v>
      </c>
      <c r="D13" s="21">
        <v>0</v>
      </c>
      <c r="E13" s="21">
        <v>1.5</v>
      </c>
      <c r="F13" s="21">
        <v>5</v>
      </c>
      <c r="G13" s="21">
        <v>1E+30</v>
      </c>
      <c r="H13" s="21">
        <v>1.5</v>
      </c>
    </row>
    <row r="14" spans="1:8">
      <c r="B14" s="21" t="s">
        <v>51</v>
      </c>
      <c r="C14" s="21" t="s">
        <v>52</v>
      </c>
      <c r="D14" s="21">
        <v>4000</v>
      </c>
      <c r="E14" s="21">
        <v>0</v>
      </c>
      <c r="F14" s="21">
        <v>3</v>
      </c>
      <c r="G14" s="21">
        <v>1</v>
      </c>
      <c r="H14" s="21">
        <v>0.5</v>
      </c>
    </row>
    <row r="15" spans="1:8">
      <c r="B15" s="21" t="s">
        <v>53</v>
      </c>
      <c r="C15" s="21" t="s">
        <v>54</v>
      </c>
      <c r="D15" s="21">
        <v>0</v>
      </c>
      <c r="E15" s="21">
        <v>5.5</v>
      </c>
      <c r="F15" s="21">
        <v>7</v>
      </c>
      <c r="G15" s="21">
        <v>1E+30</v>
      </c>
      <c r="H15" s="21">
        <v>5.5</v>
      </c>
    </row>
    <row r="16" spans="1:8">
      <c r="B16" s="21" t="s">
        <v>55</v>
      </c>
      <c r="C16" s="21" t="s">
        <v>56</v>
      </c>
      <c r="D16" s="21">
        <v>3000</v>
      </c>
      <c r="E16" s="21">
        <v>0</v>
      </c>
      <c r="F16" s="21">
        <v>4</v>
      </c>
      <c r="G16" s="21">
        <v>0.5</v>
      </c>
      <c r="H16" s="21">
        <v>1E+30</v>
      </c>
    </row>
    <row r="17" spans="1:8">
      <c r="B17" s="21" t="s">
        <v>57</v>
      </c>
      <c r="C17" s="21" t="s">
        <v>58</v>
      </c>
      <c r="D17" s="21">
        <v>0</v>
      </c>
      <c r="E17" s="21">
        <v>2</v>
      </c>
      <c r="F17" s="21">
        <v>6.5</v>
      </c>
      <c r="G17" s="21">
        <v>1E+30</v>
      </c>
      <c r="H17" s="21">
        <v>2</v>
      </c>
    </row>
    <row r="18" spans="1:8">
      <c r="B18" s="21" t="s">
        <v>59</v>
      </c>
      <c r="C18" s="21" t="s">
        <v>60</v>
      </c>
      <c r="D18" s="21">
        <v>0</v>
      </c>
      <c r="E18" s="21">
        <v>0</v>
      </c>
      <c r="F18" s="21">
        <v>4</v>
      </c>
      <c r="G18" s="21">
        <v>0.5</v>
      </c>
      <c r="H18" s="21">
        <v>1</v>
      </c>
    </row>
    <row r="19" spans="1:8">
      <c r="B19" s="21" t="s">
        <v>61</v>
      </c>
      <c r="C19" s="21" t="s">
        <v>62</v>
      </c>
      <c r="D19" s="21">
        <v>3000</v>
      </c>
      <c r="E19" s="21">
        <v>0</v>
      </c>
      <c r="F19" s="21">
        <v>2.5</v>
      </c>
      <c r="G19" s="21">
        <v>1</v>
      </c>
      <c r="H19" s="21">
        <v>1E+30</v>
      </c>
    </row>
    <row r="20" spans="1:8" ht="13.8" thickBot="1">
      <c r="B20" s="19" t="s">
        <v>63</v>
      </c>
      <c r="C20" s="19" t="s">
        <v>64</v>
      </c>
      <c r="D20" s="19">
        <v>0</v>
      </c>
      <c r="E20" s="19">
        <v>0.5</v>
      </c>
      <c r="F20" s="19">
        <v>5.5</v>
      </c>
      <c r="G20" s="19">
        <v>1E+30</v>
      </c>
      <c r="H20" s="19">
        <v>0.5</v>
      </c>
    </row>
    <row r="22" spans="1:8" ht="13.8" thickBot="1">
      <c r="A22" t="s">
        <v>33</v>
      </c>
    </row>
    <row r="23" spans="1:8">
      <c r="B23" s="25"/>
      <c r="C23" s="25"/>
      <c r="D23" s="25" t="s">
        <v>89</v>
      </c>
      <c r="E23" s="25" t="s">
        <v>98</v>
      </c>
      <c r="F23" s="25" t="s">
        <v>100</v>
      </c>
      <c r="G23" s="25" t="s">
        <v>95</v>
      </c>
      <c r="H23" s="25" t="s">
        <v>95</v>
      </c>
    </row>
    <row r="24" spans="1:8" ht="13.8" thickBot="1">
      <c r="B24" s="26" t="s">
        <v>27</v>
      </c>
      <c r="C24" s="26" t="s">
        <v>28</v>
      </c>
      <c r="D24" s="26" t="s">
        <v>90</v>
      </c>
      <c r="E24" s="26" t="s">
        <v>99</v>
      </c>
      <c r="F24" s="26" t="s">
        <v>101</v>
      </c>
      <c r="G24" s="26" t="s">
        <v>96</v>
      </c>
      <c r="H24" s="26" t="s">
        <v>97</v>
      </c>
    </row>
    <row r="25" spans="1:8">
      <c r="B25" s="21" t="s">
        <v>65</v>
      </c>
      <c r="C25" s="21" t="s">
        <v>66</v>
      </c>
      <c r="D25" s="21">
        <v>3000</v>
      </c>
      <c r="E25" s="21">
        <v>4.5</v>
      </c>
      <c r="F25" s="21">
        <v>3000</v>
      </c>
      <c r="G25" s="21">
        <v>2000</v>
      </c>
      <c r="H25" s="21">
        <v>3000</v>
      </c>
    </row>
    <row r="26" spans="1:8">
      <c r="B26" s="21" t="s">
        <v>69</v>
      </c>
      <c r="C26" s="21" t="s">
        <v>70</v>
      </c>
      <c r="D26" s="21">
        <v>4000</v>
      </c>
      <c r="E26" s="21">
        <v>4</v>
      </c>
      <c r="F26" s="21">
        <v>4000</v>
      </c>
      <c r="G26" s="21">
        <v>1000</v>
      </c>
      <c r="H26" s="21">
        <v>0</v>
      </c>
    </row>
    <row r="27" spans="1:8">
      <c r="B27" s="21" t="s">
        <v>72</v>
      </c>
      <c r="C27" s="21" t="s">
        <v>73</v>
      </c>
      <c r="D27" s="21">
        <v>3000</v>
      </c>
      <c r="E27" s="21">
        <v>2.5</v>
      </c>
      <c r="F27" s="21">
        <v>3000</v>
      </c>
      <c r="G27" s="21">
        <v>1000</v>
      </c>
      <c r="H27" s="21">
        <v>3000</v>
      </c>
    </row>
    <row r="28" spans="1:8">
      <c r="B28" s="21" t="s">
        <v>75</v>
      </c>
      <c r="C28" s="21" t="s">
        <v>76</v>
      </c>
      <c r="D28" s="21">
        <v>3000</v>
      </c>
      <c r="E28" s="21">
        <v>5</v>
      </c>
      <c r="F28" s="21">
        <v>3000</v>
      </c>
      <c r="G28" s="21">
        <v>1000</v>
      </c>
      <c r="H28" s="21">
        <v>0</v>
      </c>
    </row>
    <row r="29" spans="1:8">
      <c r="B29" s="21" t="s">
        <v>78</v>
      </c>
      <c r="C29" s="21" t="s">
        <v>79</v>
      </c>
      <c r="D29" s="21">
        <v>3000</v>
      </c>
      <c r="E29" s="21">
        <v>0</v>
      </c>
      <c r="F29" s="21">
        <v>5000</v>
      </c>
      <c r="G29" s="21">
        <v>1E+30</v>
      </c>
      <c r="H29" s="21">
        <v>2000</v>
      </c>
    </row>
    <row r="30" spans="1:8">
      <c r="B30" s="21" t="s">
        <v>82</v>
      </c>
      <c r="C30" s="21" t="s">
        <v>83</v>
      </c>
      <c r="D30" s="21">
        <v>7000</v>
      </c>
      <c r="E30" s="21">
        <v>-1</v>
      </c>
      <c r="F30" s="21">
        <v>7000</v>
      </c>
      <c r="G30" s="21">
        <v>0</v>
      </c>
      <c r="H30" s="21">
        <v>1000</v>
      </c>
    </row>
    <row r="31" spans="1:8" ht="13.8" thickBot="1">
      <c r="B31" s="19" t="s">
        <v>85</v>
      </c>
      <c r="C31" s="19" t="s">
        <v>86</v>
      </c>
      <c r="D31" s="19">
        <v>3000</v>
      </c>
      <c r="E31" s="19">
        <v>0</v>
      </c>
      <c r="F31" s="19">
        <v>4000</v>
      </c>
      <c r="G31" s="19">
        <v>1E+30</v>
      </c>
      <c r="H31" s="19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80BE-E65E-403E-8D97-FAEE1045AC75}">
  <dimension ref="A1:J24"/>
  <sheetViews>
    <sheetView showGridLines="0" workbookViewId="0"/>
  </sheetViews>
  <sheetFormatPr defaultRowHeight="13.2"/>
  <cols>
    <col min="1" max="1" width="2.33203125" customWidth="1"/>
    <col min="2" max="2" width="6.33203125" bestFit="1" customWidth="1"/>
    <col min="3" max="3" width="32.6640625" bestFit="1" customWidth="1"/>
    <col min="4" max="4" width="10.109375" bestFit="1" customWidth="1"/>
    <col min="5" max="5" width="2.33203125" customWidth="1"/>
    <col min="6" max="6" width="6.44140625" bestFit="1" customWidth="1"/>
    <col min="7" max="7" width="9.109375" bestFit="1" customWidth="1"/>
    <col min="8" max="8" width="2.33203125" customWidth="1"/>
    <col min="9" max="9" width="6.33203125" bestFit="1" customWidth="1"/>
    <col min="10" max="10" width="9.109375" bestFit="1" customWidth="1"/>
  </cols>
  <sheetData>
    <row r="1" spans="1:10">
      <c r="A1" s="18" t="s">
        <v>102</v>
      </c>
    </row>
    <row r="2" spans="1:10">
      <c r="A2" s="18" t="s">
        <v>16</v>
      </c>
    </row>
    <row r="3" spans="1:10">
      <c r="A3" s="18" t="s">
        <v>17</v>
      </c>
    </row>
    <row r="5" spans="1:10" ht="13.8" thickBot="1"/>
    <row r="6" spans="1:10">
      <c r="B6" s="25"/>
      <c r="C6" s="25" t="s">
        <v>93</v>
      </c>
      <c r="D6" s="25"/>
    </row>
    <row r="7" spans="1:10" ht="13.8" thickBot="1">
      <c r="B7" s="26" t="s">
        <v>27</v>
      </c>
      <c r="C7" s="26" t="s">
        <v>28</v>
      </c>
      <c r="D7" s="26" t="s">
        <v>90</v>
      </c>
    </row>
    <row r="8" spans="1:10" ht="13.8" thickBot="1">
      <c r="B8" s="19" t="s">
        <v>38</v>
      </c>
      <c r="C8" s="19" t="s">
        <v>39</v>
      </c>
      <c r="D8" s="22">
        <v>45000</v>
      </c>
    </row>
    <row r="10" spans="1:10" ht="13.8" thickBot="1"/>
    <row r="11" spans="1:10">
      <c r="B11" s="25"/>
      <c r="C11" s="25" t="s">
        <v>103</v>
      </c>
      <c r="D11" s="25"/>
      <c r="F11" s="25" t="s">
        <v>104</v>
      </c>
      <c r="G11" s="25" t="s">
        <v>93</v>
      </c>
      <c r="I11" s="25" t="s">
        <v>107</v>
      </c>
      <c r="J11" s="25" t="s">
        <v>93</v>
      </c>
    </row>
    <row r="12" spans="1:10" ht="13.8" thickBot="1">
      <c r="B12" s="26" t="s">
        <v>27</v>
      </c>
      <c r="C12" s="26" t="s">
        <v>28</v>
      </c>
      <c r="D12" s="26" t="s">
        <v>90</v>
      </c>
      <c r="F12" s="26" t="s">
        <v>105</v>
      </c>
      <c r="G12" s="26" t="s">
        <v>106</v>
      </c>
      <c r="I12" s="26" t="s">
        <v>105</v>
      </c>
      <c r="J12" s="26" t="s">
        <v>106</v>
      </c>
    </row>
    <row r="13" spans="1:10">
      <c r="B13" s="21" t="s">
        <v>40</v>
      </c>
      <c r="C13" s="21" t="s">
        <v>41</v>
      </c>
      <c r="D13" s="23">
        <v>3000</v>
      </c>
      <c r="F13" s="23">
        <v>3000</v>
      </c>
      <c r="G13" s="23">
        <v>45000</v>
      </c>
      <c r="I13" s="23">
        <v>3000</v>
      </c>
      <c r="J13" s="23">
        <v>45000</v>
      </c>
    </row>
    <row r="14" spans="1:10">
      <c r="B14" s="21" t="s">
        <v>43</v>
      </c>
      <c r="C14" s="21" t="s">
        <v>44</v>
      </c>
      <c r="D14" s="23">
        <v>0</v>
      </c>
      <c r="F14" s="23">
        <v>0</v>
      </c>
      <c r="G14" s="23">
        <v>45000</v>
      </c>
      <c r="I14" s="23">
        <v>0</v>
      </c>
      <c r="J14" s="23">
        <v>45000</v>
      </c>
    </row>
    <row r="15" spans="1:10">
      <c r="B15" s="21" t="s">
        <v>45</v>
      </c>
      <c r="C15" s="21" t="s">
        <v>46</v>
      </c>
      <c r="D15" s="23">
        <v>0</v>
      </c>
      <c r="F15" s="23">
        <v>0</v>
      </c>
      <c r="G15" s="23">
        <v>45000</v>
      </c>
      <c r="I15" s="23">
        <v>0</v>
      </c>
      <c r="J15" s="23">
        <v>45000</v>
      </c>
    </row>
    <row r="16" spans="1:10">
      <c r="B16" s="21" t="s">
        <v>47</v>
      </c>
      <c r="C16" s="21" t="s">
        <v>48</v>
      </c>
      <c r="D16" s="23">
        <v>0</v>
      </c>
      <c r="F16" s="23">
        <v>0</v>
      </c>
      <c r="G16" s="23">
        <v>45000</v>
      </c>
      <c r="I16" s="23">
        <v>0</v>
      </c>
      <c r="J16" s="23">
        <v>45000</v>
      </c>
    </row>
    <row r="17" spans="2:10">
      <c r="B17" s="21" t="s">
        <v>49</v>
      </c>
      <c r="C17" s="21" t="s">
        <v>50</v>
      </c>
      <c r="D17" s="23">
        <v>0</v>
      </c>
      <c r="F17" s="23">
        <v>0</v>
      </c>
      <c r="G17" s="23">
        <v>45000</v>
      </c>
      <c r="I17" s="23">
        <v>0</v>
      </c>
      <c r="J17" s="23">
        <v>45000</v>
      </c>
    </row>
    <row r="18" spans="2:10">
      <c r="B18" s="21" t="s">
        <v>51</v>
      </c>
      <c r="C18" s="21" t="s">
        <v>52</v>
      </c>
      <c r="D18" s="23">
        <v>4000</v>
      </c>
      <c r="F18" s="23">
        <v>4000</v>
      </c>
      <c r="G18" s="23">
        <v>45000</v>
      </c>
      <c r="I18" s="23">
        <v>4000</v>
      </c>
      <c r="J18" s="23">
        <v>45000</v>
      </c>
    </row>
    <row r="19" spans="2:10">
      <c r="B19" s="21" t="s">
        <v>53</v>
      </c>
      <c r="C19" s="21" t="s">
        <v>54</v>
      </c>
      <c r="D19" s="23">
        <v>0</v>
      </c>
      <c r="F19" s="23">
        <v>0</v>
      </c>
      <c r="G19" s="23">
        <v>45000</v>
      </c>
      <c r="I19" s="23">
        <v>0</v>
      </c>
      <c r="J19" s="23">
        <v>45000</v>
      </c>
    </row>
    <row r="20" spans="2:10">
      <c r="B20" s="21" t="s">
        <v>55</v>
      </c>
      <c r="C20" s="21" t="s">
        <v>56</v>
      </c>
      <c r="D20" s="23">
        <v>3000</v>
      </c>
      <c r="F20" s="23">
        <v>3000</v>
      </c>
      <c r="G20" s="23">
        <v>45000</v>
      </c>
      <c r="I20" s="23">
        <v>3000</v>
      </c>
      <c r="J20" s="23">
        <v>45000</v>
      </c>
    </row>
    <row r="21" spans="2:10">
      <c r="B21" s="21" t="s">
        <v>57</v>
      </c>
      <c r="C21" s="21" t="s">
        <v>58</v>
      </c>
      <c r="D21" s="23">
        <v>0</v>
      </c>
      <c r="F21" s="23">
        <v>0</v>
      </c>
      <c r="G21" s="23">
        <v>45000</v>
      </c>
      <c r="I21" s="23">
        <v>0</v>
      </c>
      <c r="J21" s="23">
        <v>45000</v>
      </c>
    </row>
    <row r="22" spans="2:10">
      <c r="B22" s="21" t="s">
        <v>59</v>
      </c>
      <c r="C22" s="21" t="s">
        <v>60</v>
      </c>
      <c r="D22" s="23">
        <v>0</v>
      </c>
      <c r="F22" s="23">
        <v>0</v>
      </c>
      <c r="G22" s="23">
        <v>45000</v>
      </c>
      <c r="I22" s="23">
        <v>0</v>
      </c>
      <c r="J22" s="23">
        <v>45000</v>
      </c>
    </row>
    <row r="23" spans="2:10">
      <c r="B23" s="21" t="s">
        <v>61</v>
      </c>
      <c r="C23" s="21" t="s">
        <v>62</v>
      </c>
      <c r="D23" s="23">
        <v>3000</v>
      </c>
      <c r="F23" s="23">
        <v>3000</v>
      </c>
      <c r="G23" s="23">
        <v>45000</v>
      </c>
      <c r="I23" s="23">
        <v>3000</v>
      </c>
      <c r="J23" s="23">
        <v>45000</v>
      </c>
    </row>
    <row r="24" spans="2:10" ht="13.8" thickBot="1">
      <c r="B24" s="19" t="s">
        <v>63</v>
      </c>
      <c r="C24" s="19" t="s">
        <v>64</v>
      </c>
      <c r="D24" s="24">
        <v>0</v>
      </c>
      <c r="F24" s="24">
        <v>0</v>
      </c>
      <c r="G24" s="24">
        <v>45000</v>
      </c>
      <c r="I24" s="24">
        <v>0</v>
      </c>
      <c r="J24" s="24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workbookViewId="0">
      <selection activeCell="B18" sqref="B18"/>
    </sheetView>
  </sheetViews>
  <sheetFormatPr defaultColWidth="12.6640625" defaultRowHeight="15.75" customHeight="1"/>
  <cols>
    <col min="1" max="1" width="27.77734375" customWidth="1"/>
    <col min="2" max="2" width="14.21875" customWidth="1"/>
    <col min="3" max="3" width="12.88671875" customWidth="1"/>
    <col min="4" max="4" width="15.33203125" customWidth="1"/>
    <col min="5" max="5" width="15.5546875" customWidth="1"/>
    <col min="6" max="6" width="13.88671875" customWidth="1"/>
    <col min="7" max="7" width="18.21875" customWidth="1"/>
  </cols>
  <sheetData>
    <row r="1" spans="1:7">
      <c r="A1" s="15" t="s">
        <v>0</v>
      </c>
      <c r="B1" s="16"/>
      <c r="C1" s="16"/>
      <c r="D1" s="16"/>
      <c r="E1" s="17"/>
      <c r="F1" s="1"/>
      <c r="G1" s="1"/>
    </row>
    <row r="2" spans="1:7">
      <c r="A2" s="2"/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</row>
    <row r="3" spans="1:7">
      <c r="A3" s="4" t="s">
        <v>5</v>
      </c>
      <c r="B3" s="5">
        <v>4.5</v>
      </c>
      <c r="C3" s="5">
        <v>6</v>
      </c>
      <c r="D3" s="5">
        <v>3.5</v>
      </c>
      <c r="E3" s="5">
        <v>8</v>
      </c>
      <c r="F3" s="1"/>
      <c r="G3" s="1"/>
    </row>
    <row r="4" spans="1:7">
      <c r="A4" s="6" t="s">
        <v>6</v>
      </c>
      <c r="B4" s="7">
        <v>5</v>
      </c>
      <c r="C4" s="7">
        <v>3</v>
      </c>
      <c r="D4" s="7">
        <v>7</v>
      </c>
      <c r="E4" s="7">
        <v>4</v>
      </c>
      <c r="F4" s="1"/>
      <c r="G4" s="1"/>
    </row>
    <row r="5" spans="1:7">
      <c r="A5" s="4" t="s">
        <v>7</v>
      </c>
      <c r="B5" s="5">
        <v>6.5</v>
      </c>
      <c r="C5" s="5">
        <v>4</v>
      </c>
      <c r="D5" s="5">
        <v>2.5</v>
      </c>
      <c r="E5" s="5">
        <v>5.5</v>
      </c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5" t="s">
        <v>8</v>
      </c>
      <c r="B8" s="16"/>
      <c r="C8" s="16"/>
      <c r="D8" s="16"/>
      <c r="E8" s="16"/>
      <c r="F8" s="16"/>
      <c r="G8" s="17"/>
    </row>
    <row r="9" spans="1:7">
      <c r="A9" s="2"/>
      <c r="B9" s="3" t="s">
        <v>1</v>
      </c>
      <c r="C9" s="3" t="s">
        <v>2</v>
      </c>
      <c r="D9" s="3" t="s">
        <v>3</v>
      </c>
      <c r="E9" s="3" t="s">
        <v>4</v>
      </c>
      <c r="F9" s="3" t="s">
        <v>9</v>
      </c>
      <c r="G9" s="3" t="s">
        <v>10</v>
      </c>
    </row>
    <row r="10" spans="1:7">
      <c r="A10" s="4" t="s">
        <v>5</v>
      </c>
      <c r="B10" s="8">
        <v>3000</v>
      </c>
      <c r="C10" s="8">
        <v>0</v>
      </c>
      <c r="D10" s="8">
        <v>0</v>
      </c>
      <c r="E10" s="8">
        <v>0</v>
      </c>
      <c r="F10" s="9">
        <f t="shared" ref="F10:F12" si="0">SUM(B10:E10)</f>
        <v>3000</v>
      </c>
      <c r="G10" s="8">
        <v>5000</v>
      </c>
    </row>
    <row r="11" spans="1:7">
      <c r="A11" s="6" t="s">
        <v>6</v>
      </c>
      <c r="B11" s="10">
        <v>0</v>
      </c>
      <c r="C11" s="10">
        <v>4000</v>
      </c>
      <c r="D11" s="10">
        <v>0</v>
      </c>
      <c r="E11" s="10">
        <v>3000</v>
      </c>
      <c r="F11" s="11">
        <f t="shared" si="0"/>
        <v>7000</v>
      </c>
      <c r="G11" s="10">
        <v>7000</v>
      </c>
    </row>
    <row r="12" spans="1:7">
      <c r="A12" s="4" t="s">
        <v>7</v>
      </c>
      <c r="B12" s="8">
        <v>0</v>
      </c>
      <c r="C12" s="8">
        <v>0</v>
      </c>
      <c r="D12" s="8">
        <v>3000</v>
      </c>
      <c r="E12" s="8">
        <v>0</v>
      </c>
      <c r="F12" s="9">
        <f t="shared" si="0"/>
        <v>3000</v>
      </c>
      <c r="G12" s="8">
        <v>4000</v>
      </c>
    </row>
    <row r="13" spans="1:7">
      <c r="A13" s="6" t="s">
        <v>11</v>
      </c>
      <c r="B13" s="11">
        <f t="shared" ref="B13:E13" si="1">SUM(B10:B12)</f>
        <v>3000</v>
      </c>
      <c r="C13" s="11">
        <f t="shared" si="1"/>
        <v>4000</v>
      </c>
      <c r="D13" s="11">
        <f t="shared" si="1"/>
        <v>3000</v>
      </c>
      <c r="E13" s="11">
        <f t="shared" si="1"/>
        <v>3000</v>
      </c>
      <c r="F13" s="12"/>
      <c r="G13" s="12"/>
    </row>
    <row r="14" spans="1:7">
      <c r="A14" s="4" t="s">
        <v>12</v>
      </c>
      <c r="B14" s="8">
        <v>3000</v>
      </c>
      <c r="C14" s="8">
        <v>4000</v>
      </c>
      <c r="D14" s="8">
        <v>3000</v>
      </c>
      <c r="E14" s="8">
        <v>3000</v>
      </c>
      <c r="F14" s="13"/>
      <c r="G14" s="13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5" t="s">
        <v>13</v>
      </c>
      <c r="B17" s="17"/>
      <c r="C17" s="1"/>
      <c r="D17" s="1"/>
      <c r="E17" s="1"/>
      <c r="F17" s="1"/>
      <c r="G17" s="1"/>
    </row>
    <row r="18" spans="1:7">
      <c r="A18" s="4" t="s">
        <v>14</v>
      </c>
      <c r="B18" s="14">
        <f>SUMPRODUCT(B3:E5, B10:E12)</f>
        <v>45000</v>
      </c>
      <c r="C18" s="1"/>
      <c r="D18" s="1"/>
      <c r="E18" s="1"/>
      <c r="F18" s="1"/>
      <c r="G18" s="1"/>
    </row>
  </sheetData>
  <mergeCells count="3">
    <mergeCell ref="A1:E1"/>
    <mergeCell ref="A8:G8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Network_Optimization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chadi frague</cp:lastModifiedBy>
  <dcterms:modified xsi:type="dcterms:W3CDTF">2026-10-28T13:09:02Z</dcterms:modified>
</cp:coreProperties>
</file>